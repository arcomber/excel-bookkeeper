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de\Documents\double-entry\"/>
    </mc:Choice>
  </mc:AlternateContent>
  <xr:revisionPtr revIDLastSave="0" documentId="13_ncr:1_{F61815F1-CDAD-4347-BF5F-57789497B793}" xr6:coauthVersionLast="47" xr6:coauthVersionMax="47" xr10:uidLastSave="{00000000-0000-0000-0000-000000000000}"/>
  <bookViews>
    <workbookView xWindow="2415" yWindow="600" windowWidth="25410" windowHeight="14745" activeTab="2" xr2:uid="{00000000-000D-0000-FFFF-FFFF00000000}"/>
  </bookViews>
  <sheets>
    <sheet name="Memorandum" sheetId="1" r:id="rId1"/>
    <sheet name="Journal" sheetId="2" r:id="rId2"/>
    <sheet name="Chart of Accounts" sheetId="3" r:id="rId3"/>
  </sheets>
  <calcPr calcId="191029" calcMode="autoNoTable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2" l="1"/>
  <c r="A5" i="2"/>
  <c r="B4" i="2"/>
  <c r="A2" i="2"/>
  <c r="A3" i="2" s="1"/>
</calcChain>
</file>

<file path=xl/sharedStrings.xml><?xml version="1.0" encoding="utf-8"?>
<sst xmlns="http://schemas.openxmlformats.org/spreadsheetml/2006/main" count="132" uniqueCount="53">
  <si>
    <t>Date</t>
  </si>
  <si>
    <t>Notes</t>
  </si>
  <si>
    <t>Journal number</t>
  </si>
  <si>
    <t>Issued receipts no 541 to 551 to Ollie Ayrton… for membership dues $54 cash each</t>
  </si>
  <si>
    <t>Deposited $540 at Bank. Bank receipts $540. Westfield Bank receipt no 214870.</t>
  </si>
  <si>
    <t>Purchased three trophies for speaking contest, $20 each, paid check no 847699. $60. Carter Trophies receipt no. 6174</t>
  </si>
  <si>
    <t>Check refund for cash paid for refreshments. $50. check no 84700.</t>
  </si>
  <si>
    <t>Received entrance fees for contest, $5 each. $150.</t>
  </si>
  <si>
    <t>Deposited $150 at Bank. Bank receipts $150. Westfield Bank receipt no 214871.</t>
  </si>
  <si>
    <t>Club purchase on 30 day credit from District Supplies 20 manuals at $4 each. $80.</t>
  </si>
  <si>
    <t>Sold a manual on credit to member Brandon Black $5</t>
  </si>
  <si>
    <t>Account of District Supplies is paid by bank check $80</t>
  </si>
  <si>
    <t>ID No.</t>
  </si>
  <si>
    <t>Account</t>
  </si>
  <si>
    <t>Debit</t>
  </si>
  <si>
    <t>Credit</t>
  </si>
  <si>
    <t>Chart of Accounts</t>
  </si>
  <si>
    <t>Type</t>
  </si>
  <si>
    <t>Account Name</t>
  </si>
  <si>
    <t>Assets</t>
  </si>
  <si>
    <t>Cash on Hand</t>
  </si>
  <si>
    <t>Cash at Bank</t>
  </si>
  <si>
    <t>Stock of Manuals</t>
  </si>
  <si>
    <t>Brendon Black</t>
  </si>
  <si>
    <t>Tim Walshaw</t>
  </si>
  <si>
    <t>Liabilities</t>
  </si>
  <si>
    <t>Loans to Club</t>
  </si>
  <si>
    <t>District Supplies</t>
  </si>
  <si>
    <t>Income</t>
  </si>
  <si>
    <t>Membership Dues</t>
  </si>
  <si>
    <t>Bank Interest</t>
  </si>
  <si>
    <t>Contest Entry</t>
  </si>
  <si>
    <t>Raffles</t>
  </si>
  <si>
    <t>Expenses</t>
  </si>
  <si>
    <t>Dues paid to International HQ</t>
  </si>
  <si>
    <t>Trophy Expenses</t>
  </si>
  <si>
    <t>Post Office Box</t>
  </si>
  <si>
    <t>Contest Expenses</t>
  </si>
  <si>
    <t>Bank Fees</t>
  </si>
  <si>
    <t>DEAr CILla</t>
  </si>
  <si>
    <t>CEAr DILla</t>
  </si>
  <si>
    <t>increase value of account</t>
  </si>
  <si>
    <t>decrease value of account</t>
  </si>
  <si>
    <t>Comments</t>
  </si>
  <si>
    <t>Purchased refreshments for contest, I paid cash. $50. Hellas Club receipt no 5480</t>
  </si>
  <si>
    <t>27/07/2012</t>
  </si>
  <si>
    <t xml:space="preserve">                                                                      </t>
  </si>
  <si>
    <t>Done</t>
  </si>
  <si>
    <t>x</t>
  </si>
  <si>
    <t>Brendon Black repays Club $5 for Manual, cash</t>
  </si>
  <si>
    <t>How to use:</t>
  </si>
  <si>
    <t>1. Complete Chart of Accounts table with the Account Names you would like to use. (can update at any time).</t>
  </si>
  <si>
    <t>2. Click Create ledgers button to create the Ledger 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</si>
</sst>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9525</xdr:rowOff>
        </xdr:from>
        <xdr:to>
          <xdr:col>6</xdr:col>
          <xdr:colOff>76200</xdr:colOff>
          <xdr:row>4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ledgers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urnal" displayName="Journal" ref="A1:G23" totalsRowShown="0" headerRowDxfId="3" totalsRowCellStyle="Normal">
  <autoFilter ref="A1:G23" xr:uid="{00000000-0009-0000-0100-000001000000}"/>
  <tableColumns count="7">
    <tableColumn id="1" xr3:uid="{00000000-0010-0000-0000-000001000000}" name="Date" dataDxfId="2" totalsRowCellStyle="Normal">
      <calculatedColumnFormula>A1</calculatedColumnFormula>
    </tableColumn>
    <tableColumn id="2" xr3:uid="{00000000-0010-0000-0000-000002000000}" name="ID No." totalsRowCellStyle="Normal"/>
    <tableColumn id="3" xr3:uid="{00000000-0010-0000-0000-000003000000}" name="Account" totalsRowCellStyle="Normal"/>
    <tableColumn id="4" xr3:uid="{00000000-0010-0000-0000-000004000000}" name="Debit" totalsRowCellStyle="Normal"/>
    <tableColumn id="5" xr3:uid="{00000000-0010-0000-0000-000005000000}" name="Credit" totalsRowCellStyle="Normal"/>
    <tableColumn id="6" xr3:uid="{00000000-0010-0000-0000-000006000000}" name="Comments" dataDxfId="1" totalsRowCellStyle="Normal"/>
    <tableColumn id="7" xr3:uid="{00000000-0010-0000-0000-000007000000}" name="Done" totalsRowCellStyle="Norma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CC9A6-9CAA-409D-861D-7231C8F1E994}" name="chart_of_accounts" displayName="chart_of_accounts" ref="A3:B19" totalsRowShown="0" headerRowDxfId="0">
  <autoFilter ref="A3:B19" xr:uid="{FA8CC9A6-9CAA-409D-861D-7231C8F1E994}"/>
  <sortState xmlns:xlrd2="http://schemas.microsoft.com/office/spreadsheetml/2017/richdata2" ref="A4:B19">
    <sortCondition descending="1" ref="A3:A19"/>
  </sortState>
  <tableColumns count="2">
    <tableColumn id="1" xr3:uid="{FE08CF3A-0CA0-4D58-B24E-ED1B492021A6}" name="Type"/>
    <tableColumn id="2" xr3:uid="{788A010E-FFB3-4EED-90E9-CE8C13E35E3B}" name="Account Na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workbookViewId="0">
      <selection activeCell="B15" sqref="B15"/>
    </sheetView>
  </sheetViews>
  <sheetFormatPr defaultRowHeight="15" x14ac:dyDescent="0.25"/>
  <cols>
    <col min="1" max="1" width="10.7109375" bestFit="1" customWidth="1"/>
    <col min="2" max="2" width="105.85546875" bestFit="1" customWidth="1"/>
    <col min="3" max="3" width="15" bestFit="1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1">
        <v>41115</v>
      </c>
      <c r="B2" t="s">
        <v>3</v>
      </c>
      <c r="C2">
        <v>1</v>
      </c>
    </row>
    <row r="3" spans="1:3" x14ac:dyDescent="0.25">
      <c r="A3" s="1">
        <v>41116</v>
      </c>
      <c r="B3" t="s">
        <v>4</v>
      </c>
      <c r="C3">
        <v>2</v>
      </c>
    </row>
    <row r="4" spans="1:3" x14ac:dyDescent="0.25">
      <c r="A4" s="1">
        <v>41117</v>
      </c>
      <c r="B4" t="s">
        <v>5</v>
      </c>
      <c r="C4">
        <v>3</v>
      </c>
    </row>
    <row r="5" spans="1:3" x14ac:dyDescent="0.25">
      <c r="A5" s="1">
        <v>41120</v>
      </c>
      <c r="B5" t="s">
        <v>44</v>
      </c>
      <c r="C5">
        <v>4</v>
      </c>
    </row>
    <row r="6" spans="1:3" x14ac:dyDescent="0.25">
      <c r="A6" s="1">
        <v>41120</v>
      </c>
      <c r="B6" t="s">
        <v>6</v>
      </c>
      <c r="C6">
        <v>5</v>
      </c>
    </row>
    <row r="7" spans="1:3" x14ac:dyDescent="0.25">
      <c r="A7" s="1">
        <v>41122</v>
      </c>
      <c r="B7" t="s">
        <v>7</v>
      </c>
      <c r="C7">
        <v>6</v>
      </c>
    </row>
    <row r="8" spans="1:3" x14ac:dyDescent="0.25">
      <c r="A8" s="1">
        <v>41123</v>
      </c>
      <c r="B8" t="s">
        <v>8</v>
      </c>
      <c r="C8">
        <v>7</v>
      </c>
    </row>
    <row r="9" spans="1:3" x14ac:dyDescent="0.25">
      <c r="A9" s="1">
        <v>41124</v>
      </c>
      <c r="B9" t="s">
        <v>9</v>
      </c>
      <c r="C9">
        <v>8</v>
      </c>
    </row>
    <row r="10" spans="1:3" x14ac:dyDescent="0.25">
      <c r="A10" s="1">
        <v>41131</v>
      </c>
      <c r="B10" t="s">
        <v>10</v>
      </c>
      <c r="C10">
        <v>9</v>
      </c>
    </row>
    <row r="11" spans="1:3" x14ac:dyDescent="0.25">
      <c r="A11" s="1">
        <v>41145</v>
      </c>
      <c r="B11" t="s">
        <v>49</v>
      </c>
      <c r="C11">
        <v>10</v>
      </c>
    </row>
    <row r="12" spans="1:3" x14ac:dyDescent="0.25">
      <c r="A12" s="1">
        <v>41151</v>
      </c>
      <c r="B12" t="s">
        <v>11</v>
      </c>
      <c r="C12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"/>
  <sheetViews>
    <sheetView workbookViewId="0">
      <selection activeCell="C28" sqref="C28"/>
    </sheetView>
  </sheetViews>
  <sheetFormatPr defaultRowHeight="15" x14ac:dyDescent="0.25"/>
  <cols>
    <col min="1" max="1" width="10.7109375" bestFit="1" customWidth="1"/>
    <col min="3" max="3" width="21.5703125" customWidth="1"/>
    <col min="6" max="6" width="102.28515625" customWidth="1"/>
    <col min="8" max="8" width="27.7109375" customWidth="1"/>
    <col min="9" max="9" width="9.85546875" bestFit="1" customWidth="1"/>
  </cols>
  <sheetData>
    <row r="1" spans="1:9" x14ac:dyDescent="0.25">
      <c r="A1" s="3" t="s">
        <v>0</v>
      </c>
      <c r="B1" s="3" t="s">
        <v>12</v>
      </c>
      <c r="C1" s="3" t="s">
        <v>13</v>
      </c>
      <c r="D1" s="3" t="s">
        <v>14</v>
      </c>
      <c r="E1" s="3" t="s">
        <v>15</v>
      </c>
      <c r="F1" s="3" t="s">
        <v>43</v>
      </c>
      <c r="G1" s="3" t="s">
        <v>47</v>
      </c>
      <c r="H1" t="s">
        <v>41</v>
      </c>
      <c r="I1" t="s">
        <v>39</v>
      </c>
    </row>
    <row r="2" spans="1:9" x14ac:dyDescent="0.25">
      <c r="A2" s="1">
        <f>Memorandum!A2</f>
        <v>41115</v>
      </c>
      <c r="B2">
        <v>1</v>
      </c>
      <c r="C2" t="s">
        <v>20</v>
      </c>
      <c r="D2">
        <v>540</v>
      </c>
      <c r="F2" t="s">
        <v>3</v>
      </c>
      <c r="G2" t="s">
        <v>48</v>
      </c>
      <c r="H2" t="s">
        <v>42</v>
      </c>
      <c r="I2" t="s">
        <v>40</v>
      </c>
    </row>
    <row r="3" spans="1:9" x14ac:dyDescent="0.25">
      <c r="A3" s="1">
        <f>A2</f>
        <v>41115</v>
      </c>
      <c r="B3">
        <v>1</v>
      </c>
      <c r="C3" t="s">
        <v>29</v>
      </c>
      <c r="E3">
        <v>540</v>
      </c>
      <c r="F3" t="s">
        <v>3</v>
      </c>
      <c r="G3" t="s">
        <v>48</v>
      </c>
    </row>
    <row r="4" spans="1:9" x14ac:dyDescent="0.25">
      <c r="A4" s="1">
        <v>41116</v>
      </c>
      <c r="B4">
        <f>Memorandum!C3</f>
        <v>2</v>
      </c>
      <c r="C4" t="s">
        <v>21</v>
      </c>
      <c r="D4">
        <v>540</v>
      </c>
      <c r="F4" t="s">
        <v>4</v>
      </c>
      <c r="G4" t="s">
        <v>48</v>
      </c>
    </row>
    <row r="5" spans="1:9" x14ac:dyDescent="0.25">
      <c r="A5" s="1">
        <f>A4</f>
        <v>41116</v>
      </c>
      <c r="B5">
        <v>2</v>
      </c>
      <c r="C5" t="s">
        <v>20</v>
      </c>
      <c r="E5">
        <v>540</v>
      </c>
      <c r="F5" t="s">
        <v>4</v>
      </c>
      <c r="G5" t="s">
        <v>48</v>
      </c>
    </row>
    <row r="6" spans="1:9" x14ac:dyDescent="0.25">
      <c r="A6" s="1" t="s">
        <v>45</v>
      </c>
      <c r="B6">
        <v>3</v>
      </c>
      <c r="C6" t="s">
        <v>35</v>
      </c>
      <c r="D6">
        <v>60</v>
      </c>
      <c r="F6" t="s">
        <v>5</v>
      </c>
      <c r="G6" t="s">
        <v>48</v>
      </c>
    </row>
    <row r="7" spans="1:9" x14ac:dyDescent="0.25">
      <c r="A7" s="1" t="s">
        <v>45</v>
      </c>
      <c r="B7">
        <v>3</v>
      </c>
      <c r="C7" t="s">
        <v>21</v>
      </c>
      <c r="E7">
        <v>60</v>
      </c>
      <c r="F7" t="s">
        <v>5</v>
      </c>
      <c r="G7" t="s">
        <v>48</v>
      </c>
    </row>
    <row r="8" spans="1:9" x14ac:dyDescent="0.25">
      <c r="A8" s="1">
        <v>41120</v>
      </c>
      <c r="B8">
        <v>4</v>
      </c>
      <c r="C8" t="s">
        <v>37</v>
      </c>
      <c r="D8">
        <v>50</v>
      </c>
      <c r="F8" t="s">
        <v>44</v>
      </c>
      <c r="G8" t="s">
        <v>48</v>
      </c>
    </row>
    <row r="9" spans="1:9" x14ac:dyDescent="0.25">
      <c r="A9" s="1">
        <f>A8</f>
        <v>41120</v>
      </c>
      <c r="B9">
        <v>4</v>
      </c>
      <c r="C9" t="s">
        <v>24</v>
      </c>
      <c r="E9">
        <v>50</v>
      </c>
      <c r="F9" t="s">
        <v>44</v>
      </c>
      <c r="G9" t="s">
        <v>48</v>
      </c>
    </row>
    <row r="10" spans="1:9" x14ac:dyDescent="0.25">
      <c r="A10" s="1">
        <v>41120</v>
      </c>
      <c r="B10">
        <v>5</v>
      </c>
      <c r="C10" t="s">
        <v>24</v>
      </c>
      <c r="D10">
        <v>50</v>
      </c>
      <c r="F10" t="s">
        <v>6</v>
      </c>
      <c r="G10" t="s">
        <v>48</v>
      </c>
    </row>
    <row r="11" spans="1:9" x14ac:dyDescent="0.25">
      <c r="A11" s="1">
        <v>41120</v>
      </c>
      <c r="B11">
        <v>5</v>
      </c>
      <c r="C11" t="s">
        <v>21</v>
      </c>
      <c r="E11">
        <v>50</v>
      </c>
      <c r="F11" t="s">
        <v>6</v>
      </c>
      <c r="G11" t="s">
        <v>48</v>
      </c>
    </row>
    <row r="12" spans="1:9" x14ac:dyDescent="0.25">
      <c r="A12" s="1">
        <v>41122</v>
      </c>
      <c r="B12">
        <v>6</v>
      </c>
      <c r="C12" t="s">
        <v>20</v>
      </c>
      <c r="D12">
        <v>150</v>
      </c>
      <c r="F12" t="s">
        <v>7</v>
      </c>
      <c r="G12" t="s">
        <v>48</v>
      </c>
    </row>
    <row r="13" spans="1:9" x14ac:dyDescent="0.25">
      <c r="A13" s="1">
        <v>41122</v>
      </c>
      <c r="B13">
        <v>6</v>
      </c>
      <c r="C13" t="s">
        <v>31</v>
      </c>
      <c r="E13">
        <v>150</v>
      </c>
      <c r="F13" t="s">
        <v>7</v>
      </c>
      <c r="G13" t="s">
        <v>48</v>
      </c>
    </row>
    <row r="14" spans="1:9" x14ac:dyDescent="0.25">
      <c r="A14" s="1">
        <v>41123</v>
      </c>
      <c r="B14">
        <v>7</v>
      </c>
      <c r="C14" t="s">
        <v>21</v>
      </c>
      <c r="D14">
        <v>150</v>
      </c>
      <c r="F14" t="s">
        <v>8</v>
      </c>
      <c r="G14" t="s">
        <v>48</v>
      </c>
    </row>
    <row r="15" spans="1:9" x14ac:dyDescent="0.25">
      <c r="A15" s="1">
        <v>41123</v>
      </c>
      <c r="B15">
        <v>7</v>
      </c>
      <c r="C15" t="s">
        <v>20</v>
      </c>
      <c r="E15">
        <v>150</v>
      </c>
      <c r="F15" t="s">
        <v>8</v>
      </c>
      <c r="G15" t="s">
        <v>48</v>
      </c>
    </row>
    <row r="16" spans="1:9" x14ac:dyDescent="0.25">
      <c r="A16" s="1">
        <v>41124</v>
      </c>
      <c r="B16">
        <v>8</v>
      </c>
      <c r="C16" t="s">
        <v>22</v>
      </c>
      <c r="D16">
        <v>80</v>
      </c>
      <c r="F16" t="s">
        <v>9</v>
      </c>
      <c r="G16" t="s">
        <v>48</v>
      </c>
    </row>
    <row r="17" spans="1:7" x14ac:dyDescent="0.25">
      <c r="A17" s="1">
        <v>41124</v>
      </c>
      <c r="B17">
        <v>8</v>
      </c>
      <c r="C17" t="s">
        <v>27</v>
      </c>
      <c r="E17">
        <v>80</v>
      </c>
      <c r="F17" t="s">
        <v>9</v>
      </c>
      <c r="G17" t="s">
        <v>48</v>
      </c>
    </row>
    <row r="18" spans="1:7" x14ac:dyDescent="0.25">
      <c r="A18" s="1">
        <v>41131</v>
      </c>
      <c r="B18">
        <v>9</v>
      </c>
      <c r="C18" t="s">
        <v>23</v>
      </c>
      <c r="D18">
        <v>5</v>
      </c>
      <c r="F18" t="s">
        <v>10</v>
      </c>
      <c r="G18" t="s">
        <v>48</v>
      </c>
    </row>
    <row r="19" spans="1:7" x14ac:dyDescent="0.25">
      <c r="A19" s="1">
        <v>41131</v>
      </c>
      <c r="B19">
        <v>9</v>
      </c>
      <c r="C19" t="s">
        <v>22</v>
      </c>
      <c r="E19">
        <v>5</v>
      </c>
      <c r="F19" t="s">
        <v>10</v>
      </c>
      <c r="G19" t="s">
        <v>48</v>
      </c>
    </row>
    <row r="20" spans="1:7" x14ac:dyDescent="0.25">
      <c r="A20" s="1">
        <v>41145</v>
      </c>
      <c r="B20">
        <v>10</v>
      </c>
      <c r="C20" t="s">
        <v>20</v>
      </c>
      <c r="D20">
        <v>5</v>
      </c>
      <c r="F20" t="s">
        <v>49</v>
      </c>
      <c r="G20" t="s">
        <v>48</v>
      </c>
    </row>
    <row r="21" spans="1:7" x14ac:dyDescent="0.25">
      <c r="A21" s="1">
        <v>41145</v>
      </c>
      <c r="B21">
        <v>10</v>
      </c>
      <c r="C21" t="s">
        <v>23</v>
      </c>
      <c r="E21">
        <v>5</v>
      </c>
      <c r="F21" t="s">
        <v>49</v>
      </c>
      <c r="G21" t="s">
        <v>48</v>
      </c>
    </row>
    <row r="22" spans="1:7" x14ac:dyDescent="0.25">
      <c r="A22" s="1">
        <v>41151</v>
      </c>
      <c r="B22">
        <v>11</v>
      </c>
      <c r="C22" t="s">
        <v>27</v>
      </c>
      <c r="D22">
        <v>80</v>
      </c>
      <c r="F22" t="s">
        <v>11</v>
      </c>
      <c r="G22" t="s">
        <v>48</v>
      </c>
    </row>
    <row r="23" spans="1:7" x14ac:dyDescent="0.25">
      <c r="A23" s="1">
        <v>41151</v>
      </c>
      <c r="B23">
        <v>11</v>
      </c>
      <c r="C23" t="s">
        <v>21</v>
      </c>
      <c r="E23">
        <v>80</v>
      </c>
      <c r="F23" t="s">
        <v>11</v>
      </c>
      <c r="G23" t="s">
        <v>48</v>
      </c>
    </row>
    <row r="26" spans="1:7" x14ac:dyDescent="0.25">
      <c r="F26" t="s">
        <v>46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940409-8450-48B7-BBE3-E3BDFDD14863}">
          <x14:formula1>
            <xm:f>'Chart of Accounts'!B33:B48</xm:f>
          </x14:formula1>
          <xm:sqref>C24:C25</xm:sqref>
        </x14:dataValidation>
        <x14:dataValidation type="list" allowBlank="1" showInputMessage="1" showErrorMessage="1" xr:uid="{8E27BCDD-77D4-49E3-96A0-8EB785C8ED8E}">
          <x14:formula1>
            <xm:f>'Chart of Accounts'!B4:B19</xm:f>
          </x14:formula1>
          <xm:sqref>C2:C23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9"/>
  <sheetViews>
    <sheetView tabSelected="1" workbookViewId="0">
      <selection activeCell="E23" sqref="E23"/>
    </sheetView>
  </sheetViews>
  <sheetFormatPr defaultRowHeight="15" x14ac:dyDescent="0.25"/>
  <cols>
    <col min="2" max="2" width="27.7109375" bestFit="1" customWidth="1"/>
  </cols>
  <sheetData>
    <row r="1" spans="1:8" ht="26.25" x14ac:dyDescent="0.4">
      <c r="A1" s="2" t="s">
        <v>16</v>
      </c>
    </row>
    <row r="2" spans="1:8" x14ac:dyDescent="0.25">
      <c r="H2" t="s">
        <v>50</v>
      </c>
    </row>
    <row r="3" spans="1:8" x14ac:dyDescent="0.25">
      <c r="A3" s="3" t="s">
        <v>17</v>
      </c>
      <c r="B3" s="3" t="s">
        <v>18</v>
      </c>
      <c r="H3" t="s">
        <v>51</v>
      </c>
    </row>
    <row r="4" spans="1:8" x14ac:dyDescent="0.25">
      <c r="A4" t="s">
        <v>19</v>
      </c>
      <c r="B4" t="s">
        <v>23</v>
      </c>
      <c r="H4" t="s">
        <v>52</v>
      </c>
    </row>
    <row r="5" spans="1:8" x14ac:dyDescent="0.25">
      <c r="A5" t="s">
        <v>19</v>
      </c>
      <c r="B5" t="s">
        <v>21</v>
      </c>
    </row>
    <row r="6" spans="1:8" x14ac:dyDescent="0.25">
      <c r="A6" t="s">
        <v>19</v>
      </c>
      <c r="B6" t="s">
        <v>20</v>
      </c>
    </row>
    <row r="7" spans="1:8" x14ac:dyDescent="0.25">
      <c r="A7" t="s">
        <v>19</v>
      </c>
      <c r="B7" t="s">
        <v>22</v>
      </c>
    </row>
    <row r="8" spans="1:8" x14ac:dyDescent="0.25">
      <c r="A8" t="s">
        <v>19</v>
      </c>
      <c r="B8" t="s">
        <v>24</v>
      </c>
    </row>
    <row r="9" spans="1:8" x14ac:dyDescent="0.25">
      <c r="A9" t="s">
        <v>33</v>
      </c>
      <c r="B9" t="s">
        <v>38</v>
      </c>
    </row>
    <row r="10" spans="1:8" x14ac:dyDescent="0.25">
      <c r="A10" t="s">
        <v>33</v>
      </c>
      <c r="B10" t="s">
        <v>37</v>
      </c>
    </row>
    <row r="11" spans="1:8" x14ac:dyDescent="0.25">
      <c r="A11" t="s">
        <v>33</v>
      </c>
      <c r="B11" t="s">
        <v>34</v>
      </c>
    </row>
    <row r="12" spans="1:8" x14ac:dyDescent="0.25">
      <c r="A12" t="s">
        <v>33</v>
      </c>
      <c r="B12" t="s">
        <v>36</v>
      </c>
    </row>
    <row r="13" spans="1:8" x14ac:dyDescent="0.25">
      <c r="A13" t="s">
        <v>33</v>
      </c>
      <c r="B13" t="s">
        <v>35</v>
      </c>
    </row>
    <row r="14" spans="1:8" x14ac:dyDescent="0.25">
      <c r="A14" t="s">
        <v>28</v>
      </c>
      <c r="B14" t="s">
        <v>30</v>
      </c>
    </row>
    <row r="15" spans="1:8" x14ac:dyDescent="0.25">
      <c r="A15" t="s">
        <v>28</v>
      </c>
      <c r="B15" t="s">
        <v>31</v>
      </c>
    </row>
    <row r="16" spans="1:8" x14ac:dyDescent="0.25">
      <c r="A16" t="s">
        <v>28</v>
      </c>
      <c r="B16" t="s">
        <v>29</v>
      </c>
    </row>
    <row r="17" spans="1:2" x14ac:dyDescent="0.25">
      <c r="A17" t="s">
        <v>28</v>
      </c>
      <c r="B17" t="s">
        <v>32</v>
      </c>
    </row>
    <row r="18" spans="1:2" x14ac:dyDescent="0.25">
      <c r="A18" t="s">
        <v>25</v>
      </c>
      <c r="B18" t="s">
        <v>27</v>
      </c>
    </row>
    <row r="19" spans="1:2" x14ac:dyDescent="0.25">
      <c r="A19" t="s">
        <v>25</v>
      </c>
      <c r="B19" t="s">
        <v>26</v>
      </c>
    </row>
  </sheetData>
  <sortState xmlns:xlrd2="http://schemas.microsoft.com/office/spreadsheetml/2017/richdata2" ref="A4:B19">
    <sortCondition ref="A3"/>
  </sortState>
  <dataValidations count="1">
    <dataValidation type="list" allowBlank="1" showInputMessage="1" showErrorMessage="1" sqref="A4:A19" xr:uid="{6D01DB23-D60A-4B8F-8D21-CA045583B4FB}">
      <formula1>"Assets,Liabilities,Income,Expenses"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Ledgers_Click">
                <anchor moveWithCells="1" sizeWithCells="1">
                  <from>
                    <xdr:col>3</xdr:col>
                    <xdr:colOff>600075</xdr:colOff>
                    <xdr:row>2</xdr:row>
                    <xdr:rowOff>9525</xdr:rowOff>
                  </from>
                  <to>
                    <xdr:col>6</xdr:col>
                    <xdr:colOff>76200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Memorandum</vt:lpstr>
      <vt:lpstr>Journal</vt:lpstr>
      <vt:lpstr>Chart of Accounts</vt:lpstr>
    </vt:vector>
  </TitlesOfParts>
  <Company>Genesys Telecommunications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angus</dc:creator>
  <cp:lastModifiedBy>Dee Dexy</cp:lastModifiedBy>
  <dcterms:created xsi:type="dcterms:W3CDTF">2025-04-15T11:41:09Z</dcterms:created>
  <dcterms:modified xsi:type="dcterms:W3CDTF">2025-05-04T11:13:27Z</dcterms:modified>
</cp:coreProperties>
</file>